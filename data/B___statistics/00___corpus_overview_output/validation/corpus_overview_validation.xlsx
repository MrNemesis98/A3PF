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us Overview" sheetId="1" state="visible" r:id="rId1"/>
  </sheets>
  <definedNames>
    <definedName name="_xlnm._FilterDatabase" localSheetId="0" hidden="1">'Corpus Overview'!$A$7:$O$11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2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42" customWidth="1" min="3" max="3"/>
    <col width="18" customWidth="1" min="4" max="4"/>
    <col width="15" customWidth="1" min="5" max="5"/>
    <col width="38" customWidth="1" min="6" max="6"/>
    <col width="22" customWidth="1" min="7" max="7"/>
    <col width="48" customWidth="1" min="8" max="8"/>
    <col width="20" customWidth="1" min="9" max="9"/>
    <col width="26" customWidth="1" min="10" max="10"/>
    <col width="48" customWidth="1" min="11" max="11"/>
    <col width="15" customWidth="1" min="12" max="12"/>
    <col width="21" customWidth="1" min="13" max="13"/>
    <col width="38" customWidth="1" min="14" max="14"/>
    <col width="48" customWidth="1" min="15" max="15"/>
  </cols>
  <sheetData>
    <row r="1">
      <c r="A1" s="1" t="inlineStr">
        <is>
          <t>Audiobook Corpus Overview</t>
        </is>
      </c>
    </row>
    <row r="2">
      <c r="A2" t="inlineStr">
        <is>
          <t>Generated: 2026-07-27 10:34:22</t>
        </is>
      </c>
    </row>
    <row r="3">
      <c r="A3" t="inlineStr">
        <is>
          <t>Source folder: C:\Users\tillp\Documents\Masters_Project\data\A___preprocessing\00___data_collections\Wolnelektury\validation</t>
        </is>
      </c>
    </row>
    <row r="4">
      <c r="A4" t="inlineStr">
        <is>
          <t>MFA segment folder: C:\Users\tillp\Documents\Masters_Project\data\A___preprocessing\03___whisper_output\input_for_mfa\validation</t>
        </is>
      </c>
    </row>
    <row r="5">
      <c r="A5" t="inlineStr">
        <is>
          <t>Duration calculation: enabled | Cache: enabled | Cache file: C:\Users\tillp\Documents\Masters_Project\data\B___statistics\00___corpus_overview_output\validation\audio_duration_cache_validation.json</t>
        </is>
      </c>
    </row>
    <row r="6"/>
    <row r="7">
      <c r="A7" s="2" t="inlineStr">
        <is>
          <t>Folder Name</t>
        </is>
      </c>
      <c r="B7" s="2" t="inlineStr">
        <is>
          <t>Title</t>
        </is>
      </c>
      <c r="C7" s="2" t="inlineStr">
        <is>
          <t>Author</t>
        </is>
      </c>
      <c r="D7" s="2" t="inlineStr">
        <is>
          <t>Chapters (Audio)</t>
        </is>
      </c>
      <c r="E7" s="2" t="inlineStr">
        <is>
          <t>Source Format</t>
        </is>
      </c>
      <c r="F7" s="2" t="inlineStr">
        <is>
          <t>Total Duration</t>
        </is>
      </c>
      <c r="G7" s="2" t="inlineStr">
        <is>
          <t>Total Duration (sec)</t>
        </is>
      </c>
      <c r="H7" s="2" t="inlineStr">
        <is>
          <t>Average Chapter Duration</t>
        </is>
      </c>
      <c r="I7" s="2" t="inlineStr">
        <is>
          <t>Total MFA Segments</t>
        </is>
      </c>
      <c r="J7" s="2" t="inlineStr">
        <is>
          <t>Segments per Chapter</t>
        </is>
      </c>
      <c r="K7" s="2" t="inlineStr">
        <is>
          <t>Average Segment Duration</t>
        </is>
      </c>
      <c r="L7" s="2" t="inlineStr">
        <is>
          <t>Matched Units</t>
        </is>
      </c>
      <c r="M7" s="2" t="inlineStr">
        <is>
          <t>Status</t>
        </is>
      </c>
      <c r="N7" s="2" t="inlineStr">
        <is>
          <t>Missing Units Preview</t>
        </is>
      </c>
      <c r="O7" s="2" t="inlineStr">
        <is>
          <t>Folder Path</t>
        </is>
      </c>
    </row>
    <row r="8">
      <c r="A8" s="3" t="inlineStr">
        <is>
          <t>Kandyd, François-Marie Arouet (Voltaire  Wolter)</t>
        </is>
      </c>
      <c r="B8" s="3" t="inlineStr">
        <is>
          <t>Kandyd</t>
        </is>
      </c>
      <c r="C8" s="3" t="inlineStr">
        <is>
          <t>François-Marie Arouet (Voltaire  Wolter)</t>
        </is>
      </c>
      <c r="D8" s="4" t="n">
        <v>31</v>
      </c>
      <c r="E8" s="3" t="inlineStr">
        <is>
          <t>MP3</t>
        </is>
      </c>
      <c r="F8" s="3" t="inlineStr">
        <is>
          <t>04:02:11</t>
        </is>
      </c>
      <c r="G8" s="5" t="n">
        <v>14530.944</v>
      </c>
      <c r="H8" s="3" t="inlineStr">
        <is>
          <t>00:07:49</t>
        </is>
      </c>
      <c r="I8" s="4" t="n">
        <v>311</v>
      </c>
      <c r="J8" s="6" t="n">
        <v>10.03</v>
      </c>
      <c r="K8" s="3" t="inlineStr">
        <is>
          <t>00:00:47</t>
        </is>
      </c>
      <c r="L8" s="4" t="n">
        <v>30</v>
      </c>
      <c r="M8" s="3" t="inlineStr">
        <is>
          <t>partially segmented</t>
        </is>
      </c>
      <c r="N8" s="3" t="inlineStr">
        <is>
          <t>kandyd_001_od-tlumacza</t>
        </is>
      </c>
      <c r="O8" s="3" t="inlineStr">
        <is>
          <t>C:\Users\tillp\Documents\Masters_Project\data\A___preprocessing\00___data_collections\Wolnelektury\validation\Kandyd, François-Marie Arouet (Voltaire  Wolter)</t>
        </is>
      </c>
    </row>
    <row r="9">
      <c r="A9" s="3" t="inlineStr">
        <is>
          <t>Muzyka w Herzenburgu, Tadeusz Borowski</t>
        </is>
      </c>
      <c r="B9" s="3" t="inlineStr">
        <is>
          <t>Muzyka w Herzenburgu</t>
        </is>
      </c>
      <c r="C9" s="3" t="inlineStr">
        <is>
          <t>Tadeusz Borowski</t>
        </is>
      </c>
      <c r="D9" s="4" t="n">
        <v>5</v>
      </c>
      <c r="E9" s="3" t="inlineStr">
        <is>
          <t>MP3</t>
        </is>
      </c>
      <c r="F9" s="3" t="inlineStr">
        <is>
          <t>00:57:35</t>
        </is>
      </c>
      <c r="G9" s="5" t="n">
        <v>3455.364</v>
      </c>
      <c r="H9" s="3" t="inlineStr">
        <is>
          <t>00:11:31</t>
        </is>
      </c>
      <c r="I9" s="4" t="n">
        <v>78</v>
      </c>
      <c r="J9" s="6" t="n">
        <v>15.6</v>
      </c>
      <c r="K9" s="3" t="inlineStr">
        <is>
          <t>00:00:44</t>
        </is>
      </c>
      <c r="L9" s="4" t="n">
        <v>5</v>
      </c>
      <c r="M9" s="3" t="inlineStr">
        <is>
          <t>segmented</t>
        </is>
      </c>
      <c r="N9" s="3" t="inlineStr"/>
      <c r="O9" s="3" t="inlineStr">
        <is>
          <t>C:\Users\tillp\Documents\Masters_Project\data\A___preprocessing\00___data_collections\Wolnelektury\validation\Muzyka w Herzenburgu, Tadeusz Borowski</t>
        </is>
      </c>
    </row>
    <row r="10">
      <c r="A10" s="3" t="inlineStr">
        <is>
          <t>Nostromo, Joseph Conrad</t>
        </is>
      </c>
      <c r="B10" s="3" t="inlineStr">
        <is>
          <t>Nostromo</t>
        </is>
      </c>
      <c r="C10" s="3" t="inlineStr">
        <is>
          <t>Joseph Conrad</t>
        </is>
      </c>
      <c r="D10" s="4" t="n">
        <v>30</v>
      </c>
      <c r="E10" s="3" t="inlineStr">
        <is>
          <t>MP3</t>
        </is>
      </c>
      <c r="F10" s="3" t="inlineStr">
        <is>
          <t>15:55:40</t>
        </is>
      </c>
      <c r="G10" s="5" t="n">
        <v>57340.238</v>
      </c>
      <c r="H10" s="3" t="inlineStr">
        <is>
          <t>00:31:51</t>
        </is>
      </c>
      <c r="I10" s="4" t="n">
        <v>1263</v>
      </c>
      <c r="J10" s="6" t="n">
        <v>42.1</v>
      </c>
      <c r="K10" s="3" t="inlineStr">
        <is>
          <t>00:00:45</t>
        </is>
      </c>
      <c r="L10" s="4" t="n">
        <v>30</v>
      </c>
      <c r="M10" s="3" t="inlineStr">
        <is>
          <t>segmented</t>
        </is>
      </c>
      <c r="N10" s="3" t="inlineStr"/>
      <c r="O10" s="3" t="inlineStr">
        <is>
          <t>C:\Users\tillp\Documents\Masters_Project\data\A___preprocessing\00___data_collections\Wolnelektury\validation\Nostromo, Joseph Conrad</t>
        </is>
      </c>
    </row>
    <row r="11">
      <c r="A11" s="7" t="inlineStr">
        <is>
          <t>TOTAL</t>
        </is>
      </c>
      <c r="B11" s="7" t="n"/>
      <c r="C11" s="7" t="n"/>
      <c r="D11" s="8">
        <f>SUM(D8:D10)</f>
        <v/>
      </c>
      <c r="E11" s="7" t="inlineStr"/>
      <c r="F11" s="7">
        <f>TEXT(SUM(G8:G10)/86400,"[h]:mm:ss")</f>
        <v/>
      </c>
      <c r="G11" s="9">
        <f>SUM(G8:G10)</f>
        <v/>
      </c>
      <c r="H11" s="7">
        <f>IF(D11&gt;0,TEXT(G11/D11/86400,"[h]:mm:ss"),"N/V")</f>
        <v/>
      </c>
      <c r="I11" s="8">
        <f>SUM(I8:I10)</f>
        <v/>
      </c>
      <c r="J11" s="10">
        <f>IF(D11&gt;0,I11/D11,"N/V")</f>
        <v/>
      </c>
      <c r="K11" s="7">
        <f>IF(I11&gt;0,TEXT(G11/I11/86400,"[h]:mm:ss"),"N/V")</f>
        <v/>
      </c>
      <c r="L11" s="8">
        <f>SUM(L8:L10)</f>
        <v/>
      </c>
      <c r="M11" s="7" t="n"/>
      <c r="N11" s="7" t="n"/>
      <c r="O11" s="7" t="n"/>
    </row>
  </sheetData>
  <autoFilter ref="A7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2026-07-27T08:34:22Z</dcterms:created>
  <dcterms:modified xsi:type="dcterms:W3CDTF">2026-07-27T08:34:22Z</dcterms:modified>
</cp:coreProperties>
</file>