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us Overview" sheetId="1" state="visible" r:id="rId1"/>
  </sheets>
  <definedNames>
    <definedName name="_xlnm._FilterDatabase" localSheetId="0" hidden="1">'Corpus Overview'!$A$7:$O$32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2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  <col width="28" customWidth="1" min="3" max="3"/>
    <col width="18" customWidth="1" min="4" max="4"/>
    <col width="15" customWidth="1" min="5" max="5"/>
    <col width="38" customWidth="1" min="6" max="6"/>
    <col width="22" customWidth="1" min="7" max="7"/>
    <col width="48" customWidth="1" min="8" max="8"/>
    <col width="20" customWidth="1" min="9" max="9"/>
    <col width="26" customWidth="1" min="10" max="10"/>
    <col width="48" customWidth="1" min="11" max="11"/>
    <col width="15" customWidth="1" min="12" max="12"/>
    <col width="21" customWidth="1" min="13" max="13"/>
    <col width="38" customWidth="1" min="14" max="14"/>
    <col width="48" customWidth="1" min="15" max="15"/>
  </cols>
  <sheetData>
    <row r="1">
      <c r="A1" s="1" t="inlineStr">
        <is>
          <t>Audiobook Corpus Overview</t>
        </is>
      </c>
    </row>
    <row r="2">
      <c r="A2" t="inlineStr">
        <is>
          <t>Generated: 2026-07-27 10:48:08</t>
        </is>
      </c>
    </row>
    <row r="3">
      <c r="A3" t="inlineStr">
        <is>
          <t>Source folder: C:\Users\tillp\Documents\Masters_Project\data\A___preprocessing\00___data_collections\Wolnelektury\training</t>
        </is>
      </c>
    </row>
    <row r="4">
      <c r="A4" t="inlineStr">
        <is>
          <t>MFA segment folder: C:\Users\tillp\Documents\Masters_Project\data\A___preprocessing\03___whisper_output\input_for_mfa\training</t>
        </is>
      </c>
    </row>
    <row r="5">
      <c r="A5" t="inlineStr">
        <is>
          <t>Duration calculation: enabled | Cache: enabled | Cache file: C:\Users\tillp\Documents\Masters_Project\data\B___statistics\00___corpus_overview_output\training\audio_duration_cache_training.json</t>
        </is>
      </c>
    </row>
    <row r="6"/>
    <row r="7">
      <c r="A7" s="2" t="inlineStr">
        <is>
          <t>Folder Name</t>
        </is>
      </c>
      <c r="B7" s="2" t="inlineStr">
        <is>
          <t>Title</t>
        </is>
      </c>
      <c r="C7" s="2" t="inlineStr">
        <is>
          <t>Author</t>
        </is>
      </c>
      <c r="D7" s="2" t="inlineStr">
        <is>
          <t>Chapters (Audio)</t>
        </is>
      </c>
      <c r="E7" s="2" t="inlineStr">
        <is>
          <t>Source Format</t>
        </is>
      </c>
      <c r="F7" s="2" t="inlineStr">
        <is>
          <t>Total Duration</t>
        </is>
      </c>
      <c r="G7" s="2" t="inlineStr">
        <is>
          <t>Total Duration (sec)</t>
        </is>
      </c>
      <c r="H7" s="2" t="inlineStr">
        <is>
          <t>Average Chapter Duration</t>
        </is>
      </c>
      <c r="I7" s="2" t="inlineStr">
        <is>
          <t>Total MFA Segments</t>
        </is>
      </c>
      <c r="J7" s="2" t="inlineStr">
        <is>
          <t>Segments per Chapter</t>
        </is>
      </c>
      <c r="K7" s="2" t="inlineStr">
        <is>
          <t>Average Segment Duration</t>
        </is>
      </c>
      <c r="L7" s="2" t="inlineStr">
        <is>
          <t>Matched Units</t>
        </is>
      </c>
      <c r="M7" s="2" t="inlineStr">
        <is>
          <t>Status</t>
        </is>
      </c>
      <c r="N7" s="2" t="inlineStr">
        <is>
          <t>Missing Units Preview</t>
        </is>
      </c>
      <c r="O7" s="2" t="inlineStr">
        <is>
          <t>Folder Path</t>
        </is>
      </c>
    </row>
    <row r="8">
      <c r="A8" s="3" t="inlineStr">
        <is>
          <t>Anioł, Hans Christian Andersen</t>
        </is>
      </c>
      <c r="B8" s="3" t="inlineStr">
        <is>
          <t>Anioł</t>
        </is>
      </c>
      <c r="C8" s="3" t="inlineStr">
        <is>
          <t>Hans Christian Andersen</t>
        </is>
      </c>
      <c r="D8" s="4" t="n">
        <v>1</v>
      </c>
      <c r="E8" s="3" t="inlineStr">
        <is>
          <t>MP3</t>
        </is>
      </c>
      <c r="F8" s="3" t="inlineStr">
        <is>
          <t>00:06:41</t>
        </is>
      </c>
      <c r="G8" s="5" t="n">
        <v>400.944</v>
      </c>
      <c r="H8" s="3" t="inlineStr">
        <is>
          <t>00:06:41</t>
        </is>
      </c>
      <c r="I8" s="4" t="n">
        <v>9</v>
      </c>
      <c r="J8" s="6" t="n">
        <v>9</v>
      </c>
      <c r="K8" s="3" t="inlineStr">
        <is>
          <t>00:00:45</t>
        </is>
      </c>
      <c r="L8" s="4" t="n">
        <v>1</v>
      </c>
      <c r="M8" s="3" t="inlineStr">
        <is>
          <t>segmented</t>
        </is>
      </c>
      <c r="N8" s="3" t="inlineStr"/>
      <c r="O8" s="3" t="inlineStr">
        <is>
          <t>C:\Users\tillp\Documents\Masters_Project\data\A___preprocessing\00___data_collections\Wolnelektury\training\Anioł, Hans Christian Andersen</t>
        </is>
      </c>
    </row>
    <row r="9">
      <c r="A9" s="3" t="inlineStr">
        <is>
          <t>Awantura o Basię, Kornel Makuszyński</t>
        </is>
      </c>
      <c r="B9" s="3" t="inlineStr">
        <is>
          <t>Awantura o Basię</t>
        </is>
      </c>
      <c r="C9" s="3" t="inlineStr">
        <is>
          <t>Kornel Makuszyński</t>
        </is>
      </c>
      <c r="D9" s="4" t="n">
        <v>14</v>
      </c>
      <c r="E9" s="3" t="inlineStr">
        <is>
          <t>MP3</t>
        </is>
      </c>
      <c r="F9" s="3" t="inlineStr">
        <is>
          <t>06:29:30</t>
        </is>
      </c>
      <c r="G9" s="5" t="n">
        <v>23370.062</v>
      </c>
      <c r="H9" s="3" t="inlineStr">
        <is>
          <t>00:27:49</t>
        </is>
      </c>
      <c r="I9" s="4" t="n">
        <v>521</v>
      </c>
      <c r="J9" s="6" t="n">
        <v>37.21</v>
      </c>
      <c r="K9" s="3" t="inlineStr">
        <is>
          <t>00:00:45</t>
        </is>
      </c>
      <c r="L9" s="4" t="n">
        <v>14</v>
      </c>
      <c r="M9" s="3" t="inlineStr">
        <is>
          <t>segmented</t>
        </is>
      </c>
      <c r="N9" s="3" t="inlineStr"/>
      <c r="O9" s="3" t="inlineStr">
        <is>
          <t>C:\Users\tillp\Documents\Masters_Project\data\A___preprocessing\00___data_collections\Wolnelektury\training\Awantura o Basię, Kornel Makuszyński</t>
        </is>
      </c>
    </row>
    <row r="10">
      <c r="A10" s="3" t="inlineStr">
        <is>
          <t>Bank Nucingena, Honoré de Balzac</t>
        </is>
      </c>
      <c r="B10" s="3" t="inlineStr">
        <is>
          <t>Bank Nucingena</t>
        </is>
      </c>
      <c r="C10" s="3" t="inlineStr">
        <is>
          <t>Honoré de Balzac</t>
        </is>
      </c>
      <c r="D10" s="4" t="n">
        <v>1</v>
      </c>
      <c r="E10" s="3" t="inlineStr">
        <is>
          <t>MP3</t>
        </is>
      </c>
      <c r="F10" s="3" t="inlineStr">
        <is>
          <t>02:41:23</t>
        </is>
      </c>
      <c r="G10" s="5" t="n">
        <v>9682.726000000001</v>
      </c>
      <c r="H10" s="3" t="inlineStr">
        <is>
          <t>02:41:23</t>
        </is>
      </c>
      <c r="I10" s="4" t="n">
        <v>212</v>
      </c>
      <c r="J10" s="6" t="n">
        <v>212</v>
      </c>
      <c r="K10" s="3" t="inlineStr">
        <is>
          <t>00:00:46</t>
        </is>
      </c>
      <c r="L10" s="4" t="n">
        <v>1</v>
      </c>
      <c r="M10" s="3" t="inlineStr">
        <is>
          <t>segmented</t>
        </is>
      </c>
      <c r="N10" s="3" t="inlineStr"/>
      <c r="O10" s="3" t="inlineStr">
        <is>
          <t>C:\Users\tillp\Documents\Masters_Project\data\A___preprocessing\00___data_collections\Wolnelektury\training\Bank Nucingena, Honoré de Balzac</t>
        </is>
      </c>
    </row>
    <row r="11">
      <c r="A11" s="3" t="inlineStr">
        <is>
          <t>Boska komedia, Czyściec, Dante Alighieri</t>
        </is>
      </c>
      <c r="B11" s="3" t="inlineStr">
        <is>
          <t>Boska komedia, Czyściec</t>
        </is>
      </c>
      <c r="C11" s="3" t="inlineStr">
        <is>
          <t>Dante Alighieri</t>
        </is>
      </c>
      <c r="D11" s="4" t="n">
        <v>33</v>
      </c>
      <c r="E11" s="3" t="inlineStr">
        <is>
          <t>MP3</t>
        </is>
      </c>
      <c r="F11" s="3" t="inlineStr">
        <is>
          <t>04:26:37</t>
        </is>
      </c>
      <c r="G11" s="5" t="n">
        <v>15996.626</v>
      </c>
      <c r="H11" s="3" t="inlineStr">
        <is>
          <t>00:08:05</t>
        </is>
      </c>
      <c r="I11" s="4" t="n">
        <v>357</v>
      </c>
      <c r="J11" s="6" t="n">
        <v>10.82</v>
      </c>
      <c r="K11" s="3" t="inlineStr">
        <is>
          <t>00:00:45</t>
        </is>
      </c>
      <c r="L11" s="4" t="n">
        <v>33</v>
      </c>
      <c r="M11" s="3" t="inlineStr">
        <is>
          <t>segmented</t>
        </is>
      </c>
      <c r="N11" s="3" t="inlineStr"/>
      <c r="O11" s="3" t="inlineStr">
        <is>
          <t>C:\Users\tillp\Documents\Masters_Project\data\A___preprocessing\00___data_collections\Wolnelektury\training\Boska komedia, Czyściec, Dante Alighieri</t>
        </is>
      </c>
    </row>
    <row r="12">
      <c r="A12" s="3" t="inlineStr">
        <is>
          <t>Boska komedia, Piekło, Dante Alighieri</t>
        </is>
      </c>
      <c r="B12" s="3" t="inlineStr">
        <is>
          <t>Boska komedia, Piekło</t>
        </is>
      </c>
      <c r="C12" s="3" t="inlineStr">
        <is>
          <t>Dante Alighieri</t>
        </is>
      </c>
      <c r="D12" s="4" t="n">
        <v>34</v>
      </c>
      <c r="E12" s="3" t="inlineStr">
        <is>
          <t>MP3</t>
        </is>
      </c>
      <c r="F12" s="3" t="inlineStr">
        <is>
          <t>04:23:57</t>
        </is>
      </c>
      <c r="G12" s="5" t="n">
        <v>15836.897</v>
      </c>
      <c r="H12" s="3" t="inlineStr">
        <is>
          <t>00:07:46</t>
        </is>
      </c>
      <c r="I12" s="4" t="n">
        <v>355</v>
      </c>
      <c r="J12" s="6" t="n">
        <v>10.44</v>
      </c>
      <c r="K12" s="3" t="inlineStr">
        <is>
          <t>00:00:45</t>
        </is>
      </c>
      <c r="L12" s="4" t="n">
        <v>34</v>
      </c>
      <c r="M12" s="3" t="inlineStr">
        <is>
          <t>segmented</t>
        </is>
      </c>
      <c r="N12" s="3" t="inlineStr"/>
      <c r="O12" s="3" t="inlineStr">
        <is>
          <t>C:\Users\tillp\Documents\Masters_Project\data\A___preprocessing\00___data_collections\Wolnelektury\training\Boska komedia, Piekło, Dante Alighieri</t>
        </is>
      </c>
    </row>
    <row r="13">
      <c r="A13" s="3" t="inlineStr">
        <is>
          <t>Boska komedia, Raj, Dante Alighieri</t>
        </is>
      </c>
      <c r="B13" s="3" t="inlineStr">
        <is>
          <t>Boska komedia, Raj</t>
        </is>
      </c>
      <c r="C13" s="3" t="inlineStr">
        <is>
          <t>Dante Alighieri</t>
        </is>
      </c>
      <c r="D13" s="4" t="n">
        <v>33</v>
      </c>
      <c r="E13" s="3" t="inlineStr">
        <is>
          <t>MP3</t>
        </is>
      </c>
      <c r="F13" s="3" t="inlineStr">
        <is>
          <t>04:30:17</t>
        </is>
      </c>
      <c r="G13" s="5" t="n">
        <v>16216.85</v>
      </c>
      <c r="H13" s="3" t="inlineStr">
        <is>
          <t>00:08:11</t>
        </is>
      </c>
      <c r="I13" s="4" t="n">
        <v>364</v>
      </c>
      <c r="J13" s="6" t="n">
        <v>11.03</v>
      </c>
      <c r="K13" s="3" t="inlineStr">
        <is>
          <t>00:00:45</t>
        </is>
      </c>
      <c r="L13" s="4" t="n">
        <v>33</v>
      </c>
      <c r="M13" s="3" t="inlineStr">
        <is>
          <t>segmented</t>
        </is>
      </c>
      <c r="N13" s="3" t="inlineStr"/>
      <c r="O13" s="3" t="inlineStr">
        <is>
          <t>C:\Users\tillp\Documents\Masters_Project\data\A___preprocessing\00___data_collections\Wolnelektury\training\Boska komedia, Raj, Dante Alighieri</t>
        </is>
      </c>
    </row>
    <row r="14">
      <c r="A14" s="3" t="inlineStr">
        <is>
          <t>Brzydkie Kaczatko, Hans Christian Andersen</t>
        </is>
      </c>
      <c r="B14" s="3" t="inlineStr">
        <is>
          <t>Brzydkie Kaczatko</t>
        </is>
      </c>
      <c r="C14" s="3" t="inlineStr">
        <is>
          <t>Hans Christian Andersen</t>
        </is>
      </c>
      <c r="D14" s="4" t="n">
        <v>1</v>
      </c>
      <c r="E14" s="3" t="inlineStr">
        <is>
          <t>MP3</t>
        </is>
      </c>
      <c r="F14" s="3" t="inlineStr">
        <is>
          <t>00:25:09</t>
        </is>
      </c>
      <c r="G14" s="5" t="n">
        <v>1508.885</v>
      </c>
      <c r="H14" s="3" t="inlineStr">
        <is>
          <t>00:25:09</t>
        </is>
      </c>
      <c r="I14" s="4" t="n">
        <v>33</v>
      </c>
      <c r="J14" s="6" t="n">
        <v>33</v>
      </c>
      <c r="K14" s="3" t="inlineStr">
        <is>
          <t>00:00:46</t>
        </is>
      </c>
      <c r="L14" s="4" t="n">
        <v>1</v>
      </c>
      <c r="M14" s="3" t="inlineStr">
        <is>
          <t>segmented</t>
        </is>
      </c>
      <c r="N14" s="3" t="inlineStr"/>
      <c r="O14" s="3" t="inlineStr">
        <is>
          <t>C:\Users\tillp\Documents\Masters_Project\data\A___preprocessing\00___data_collections\Wolnelektury\training\Brzydkie Kaczatko, Hans Christian Andersen</t>
        </is>
      </c>
    </row>
    <row r="15">
      <c r="A15" s="3" t="inlineStr">
        <is>
          <t>Bąk i piłka, Hans Christian Andersen</t>
        </is>
      </c>
      <c r="B15" s="3" t="inlineStr">
        <is>
          <t>Bąk i piłka</t>
        </is>
      </c>
      <c r="C15" s="3" t="inlineStr">
        <is>
          <t>Hans Christian Andersen</t>
        </is>
      </c>
      <c r="D15" s="4" t="n">
        <v>1</v>
      </c>
      <c r="E15" s="3" t="inlineStr">
        <is>
          <t>MP3</t>
        </is>
      </c>
      <c r="F15" s="3" t="inlineStr">
        <is>
          <t>00:06:13</t>
        </is>
      </c>
      <c r="G15" s="5" t="n">
        <v>372.764</v>
      </c>
      <c r="H15" s="3" t="inlineStr">
        <is>
          <t>00:06:13</t>
        </is>
      </c>
      <c r="I15" s="4" t="n">
        <v>8</v>
      </c>
      <c r="J15" s="6" t="n">
        <v>8</v>
      </c>
      <c r="K15" s="3" t="inlineStr">
        <is>
          <t>00:00:47</t>
        </is>
      </c>
      <c r="L15" s="4" t="n">
        <v>1</v>
      </c>
      <c r="M15" s="3" t="inlineStr">
        <is>
          <t>segmented</t>
        </is>
      </c>
      <c r="N15" s="3" t="inlineStr"/>
      <c r="O15" s="3" t="inlineStr">
        <is>
          <t>C:\Users\tillp\Documents\Masters_Project\data\A___preprocessing\00___data_collections\Wolnelektury\training\Bąk i piłka, Hans Christian Andersen</t>
        </is>
      </c>
    </row>
    <row r="16">
      <c r="A16" s="3" t="inlineStr">
        <is>
          <t>Cierpienia młodego Wertera, Johann Wolfgang von Goethe</t>
        </is>
      </c>
      <c r="B16" s="3" t="inlineStr">
        <is>
          <t>Cierpienia młodego Wertera</t>
        </is>
      </c>
      <c r="C16" s="3" t="inlineStr">
        <is>
          <t>Johann Wolfgang von Goethe</t>
        </is>
      </c>
      <c r="D16" s="4" t="n">
        <v>2</v>
      </c>
      <c r="E16" s="3" t="inlineStr">
        <is>
          <t>MP3</t>
        </is>
      </c>
      <c r="F16" s="3" t="inlineStr">
        <is>
          <t>04:54:40</t>
        </is>
      </c>
      <c r="G16" s="5" t="n">
        <v>17679.943</v>
      </c>
      <c r="H16" s="3" t="inlineStr">
        <is>
          <t>02:27:20</t>
        </is>
      </c>
      <c r="I16" s="4" t="n">
        <v>394</v>
      </c>
      <c r="J16" s="6" t="n">
        <v>197</v>
      </c>
      <c r="K16" s="3" t="inlineStr">
        <is>
          <t>00:00:45</t>
        </is>
      </c>
      <c r="L16" s="4" t="n">
        <v>2</v>
      </c>
      <c r="M16" s="3" t="inlineStr">
        <is>
          <t>segmented</t>
        </is>
      </c>
      <c r="N16" s="3" t="inlineStr"/>
      <c r="O16" s="3" t="inlineStr">
        <is>
          <t>C:\Users\tillp\Documents\Masters_Project\data\A___preprocessing\00___data_collections\Wolnelektury\training\Cierpienia młodego Wertera, Johann Wolfgang von Goethe</t>
        </is>
      </c>
    </row>
    <row r="17">
      <c r="A17" s="3" t="inlineStr">
        <is>
          <t>Dolina trwogi, Arthur Conan Doyle</t>
        </is>
      </c>
      <c r="B17" s="3" t="inlineStr">
        <is>
          <t>Dolina trwogi</t>
        </is>
      </c>
      <c r="C17" s="3" t="inlineStr">
        <is>
          <t>Arthur Conan Doyle</t>
        </is>
      </c>
      <c r="D17" s="4" t="n">
        <v>15</v>
      </c>
      <c r="E17" s="3" t="inlineStr">
        <is>
          <t>MP3</t>
        </is>
      </c>
      <c r="F17" s="3" t="inlineStr">
        <is>
          <t>07:08:12</t>
        </is>
      </c>
      <c r="G17" s="5" t="n">
        <v>25692.145</v>
      </c>
      <c r="H17" s="3" t="inlineStr">
        <is>
          <t>00:28:33</t>
        </is>
      </c>
      <c r="I17" s="4" t="n">
        <v>568</v>
      </c>
      <c r="J17" s="6" t="n">
        <v>37.87</v>
      </c>
      <c r="K17" s="3" t="inlineStr">
        <is>
          <t>00:00:45</t>
        </is>
      </c>
      <c r="L17" s="4" t="n">
        <v>15</v>
      </c>
      <c r="M17" s="3" t="inlineStr">
        <is>
          <t>segmented</t>
        </is>
      </c>
      <c r="N17" s="3" t="inlineStr"/>
      <c r="O17" s="3" t="inlineStr">
        <is>
          <t>C:\Users\tillp\Documents\Masters_Project\data\A___preprocessing\00___data_collections\Wolnelektury\training\Dolina trwogi, Arthur Conan Doyle</t>
        </is>
      </c>
    </row>
    <row r="18">
      <c r="A18" s="3" t="inlineStr">
        <is>
          <t>Groźny cień, Arthur Conan Doyle</t>
        </is>
      </c>
      <c r="B18" s="3" t="inlineStr">
        <is>
          <t>Groźny cień</t>
        </is>
      </c>
      <c r="C18" s="3" t="inlineStr">
        <is>
          <t>Arthur Conan Doyle</t>
        </is>
      </c>
      <c r="D18" s="4" t="n">
        <v>15</v>
      </c>
      <c r="E18" s="3" t="inlineStr">
        <is>
          <t>MP3</t>
        </is>
      </c>
      <c r="F18" s="3" t="inlineStr">
        <is>
          <t>06:43:13</t>
        </is>
      </c>
      <c r="G18" s="5" t="n">
        <v>24193.425</v>
      </c>
      <c r="H18" s="3" t="inlineStr">
        <is>
          <t>00:26:53</t>
        </is>
      </c>
      <c r="I18" s="4" t="n">
        <v>538</v>
      </c>
      <c r="J18" s="6" t="n">
        <v>35.87</v>
      </c>
      <c r="K18" s="3" t="inlineStr">
        <is>
          <t>00:00:45</t>
        </is>
      </c>
      <c r="L18" s="4" t="n">
        <v>15</v>
      </c>
      <c r="M18" s="3" t="inlineStr">
        <is>
          <t>segmented</t>
        </is>
      </c>
      <c r="N18" s="3" t="inlineStr"/>
      <c r="O18" s="3" t="inlineStr">
        <is>
          <t>C:\Users\tillp\Documents\Masters_Project\data\A___preprocessing\00___data_collections\Wolnelektury\training\Groźny cień, Arthur Conan Doyle</t>
        </is>
      </c>
    </row>
    <row r="19">
      <c r="A19" s="3" t="inlineStr">
        <is>
          <t>Kim, Rudyard Kipling</t>
        </is>
      </c>
      <c r="B19" s="3" t="inlineStr">
        <is>
          <t>Kim</t>
        </is>
      </c>
      <c r="C19" s="3" t="inlineStr">
        <is>
          <t>Rudyard Kipling</t>
        </is>
      </c>
      <c r="D19" s="4" t="n">
        <v>16</v>
      </c>
      <c r="E19" s="3" t="inlineStr">
        <is>
          <t>MP3</t>
        </is>
      </c>
      <c r="F19" s="3" t="inlineStr">
        <is>
          <t>13:32:30</t>
        </is>
      </c>
      <c r="G19" s="5" t="n">
        <v>48750.323</v>
      </c>
      <c r="H19" s="3" t="inlineStr">
        <is>
          <t>00:50:47</t>
        </is>
      </c>
      <c r="I19" s="4" t="n">
        <v>1087</v>
      </c>
      <c r="J19" s="6" t="n">
        <v>67.94</v>
      </c>
      <c r="K19" s="3" t="inlineStr">
        <is>
          <t>00:00:45</t>
        </is>
      </c>
      <c r="L19" s="4" t="n">
        <v>16</v>
      </c>
      <c r="M19" s="3" t="inlineStr">
        <is>
          <t>segmented</t>
        </is>
      </c>
      <c r="N19" s="3" t="inlineStr"/>
      <c r="O19" s="3" t="inlineStr">
        <is>
          <t>C:\Users\tillp\Documents\Masters_Project\data\A___preprocessing\00___data_collections\Wolnelektury\training\Kim, Rudyard Kipling</t>
        </is>
      </c>
    </row>
    <row r="20">
      <c r="A20" s="3" t="inlineStr">
        <is>
          <t>Lalka, Bolesław Prus</t>
        </is>
      </c>
      <c r="B20" s="3" t="inlineStr">
        <is>
          <t>Lalka</t>
        </is>
      </c>
      <c r="C20" s="3" t="inlineStr">
        <is>
          <t>Bolesław Prus</t>
        </is>
      </c>
      <c r="D20" s="4" t="n">
        <v>39</v>
      </c>
      <c r="E20" s="3" t="inlineStr">
        <is>
          <t>MP3</t>
        </is>
      </c>
      <c r="F20" s="3" t="inlineStr">
        <is>
          <t>32:04:10</t>
        </is>
      </c>
      <c r="G20" s="5" t="n">
        <v>115449.956</v>
      </c>
      <c r="H20" s="3" t="inlineStr">
        <is>
          <t>00:49:20</t>
        </is>
      </c>
      <c r="I20" s="4" t="n">
        <v>2559</v>
      </c>
      <c r="J20" s="6" t="n">
        <v>65.62</v>
      </c>
      <c r="K20" s="3" t="inlineStr">
        <is>
          <t>00:00:45</t>
        </is>
      </c>
      <c r="L20" s="4" t="n">
        <v>39</v>
      </c>
      <c r="M20" s="3" t="inlineStr">
        <is>
          <t>segmented</t>
        </is>
      </c>
      <c r="N20" s="3" t="inlineStr"/>
      <c r="O20" s="3" t="inlineStr">
        <is>
          <t>C:\Users\tillp\Documents\Masters_Project\data\A___preprocessing\00___data_collections\Wolnelektury\training\Lalka, Bolesław Prus</t>
        </is>
      </c>
    </row>
    <row r="21">
      <c r="A21" s="3" t="inlineStr">
        <is>
          <t>Mała księżniczka, Frances Hodgson Burnett</t>
        </is>
      </c>
      <c r="B21" s="3" t="inlineStr">
        <is>
          <t>Mała księżniczka</t>
        </is>
      </c>
      <c r="C21" s="3" t="inlineStr">
        <is>
          <t>Frances Hodgson Burnett</t>
        </is>
      </c>
      <c r="D21" s="4" t="n">
        <v>19</v>
      </c>
      <c r="E21" s="3" t="inlineStr">
        <is>
          <t>MP3</t>
        </is>
      </c>
      <c r="F21" s="3" t="inlineStr">
        <is>
          <t>07:25:28</t>
        </is>
      </c>
      <c r="G21" s="5" t="n">
        <v>26727.804</v>
      </c>
      <c r="H21" s="3" t="inlineStr">
        <is>
          <t>00:23:27</t>
        </is>
      </c>
      <c r="I21" s="4" t="n">
        <v>596</v>
      </c>
      <c r="J21" s="6" t="n">
        <v>31.37</v>
      </c>
      <c r="K21" s="3" t="inlineStr">
        <is>
          <t>00:00:45</t>
        </is>
      </c>
      <c r="L21" s="4" t="n">
        <v>19</v>
      </c>
      <c r="M21" s="3" t="inlineStr">
        <is>
          <t>segmented</t>
        </is>
      </c>
      <c r="N21" s="3" t="inlineStr"/>
      <c r="O21" s="3" t="inlineStr">
        <is>
          <t>C:\Users\tillp\Documents\Masters_Project\data\A___preprocessing\00___data_collections\Wolnelektury\training\Mała księżniczka, Frances Hodgson Burnett</t>
        </is>
      </c>
    </row>
    <row r="22">
      <c r="A22" s="3" t="inlineStr">
        <is>
          <t>Małe kobietki, Louisa May Alcott</t>
        </is>
      </c>
      <c r="B22" s="3" t="inlineStr">
        <is>
          <t>Małe kobietki</t>
        </is>
      </c>
      <c r="C22" s="3" t="inlineStr">
        <is>
          <t>Louisa May Alcott</t>
        </is>
      </c>
      <c r="D22" s="4" t="n">
        <v>23</v>
      </c>
      <c r="E22" s="3" t="inlineStr">
        <is>
          <t>MP3</t>
        </is>
      </c>
      <c r="F22" s="3" t="inlineStr">
        <is>
          <t>08:07:18</t>
        </is>
      </c>
      <c r="G22" s="5" t="n">
        <v>29237.833</v>
      </c>
      <c r="H22" s="3" t="inlineStr">
        <is>
          <t>00:21:11</t>
        </is>
      </c>
      <c r="I22" s="4" t="n">
        <v>655</v>
      </c>
      <c r="J22" s="6" t="n">
        <v>28.48</v>
      </c>
      <c r="K22" s="3" t="inlineStr">
        <is>
          <t>00:00:45</t>
        </is>
      </c>
      <c r="L22" s="4" t="n">
        <v>22</v>
      </c>
      <c r="M22" s="3" t="inlineStr">
        <is>
          <t>partially segmented</t>
        </is>
      </c>
      <c r="N22" s="3" t="inlineStr">
        <is>
          <t>alcott-male-kobietki_012_rozdzial-xii-oboz-artura</t>
        </is>
      </c>
      <c r="O22" s="3" t="inlineStr">
        <is>
          <t>C:\Users\tillp\Documents\Masters_Project\data\A___preprocessing\00___data_collections\Wolnelektury\training\Małe kobietki, Louisa May Alcott</t>
        </is>
      </c>
    </row>
    <row r="23">
      <c r="A23" s="3" t="inlineStr">
        <is>
          <t>Poetyka, Arystoteles</t>
        </is>
      </c>
      <c r="B23" s="3" t="inlineStr">
        <is>
          <t>Poetyka</t>
        </is>
      </c>
      <c r="C23" s="3" t="inlineStr">
        <is>
          <t>Arystoteles</t>
        </is>
      </c>
      <c r="D23" s="4" t="n">
        <v>28</v>
      </c>
      <c r="E23" s="3" t="inlineStr">
        <is>
          <t>MP3</t>
        </is>
      </c>
      <c r="F23" s="3" t="inlineStr">
        <is>
          <t>01:40:56</t>
        </is>
      </c>
      <c r="G23" s="5" t="n">
        <v>6055.994</v>
      </c>
      <c r="H23" s="3" t="inlineStr">
        <is>
          <t>00:03:36</t>
        </is>
      </c>
      <c r="I23" s="4" t="n">
        <v>139</v>
      </c>
      <c r="J23" s="6" t="n">
        <v>4.96</v>
      </c>
      <c r="K23" s="3" t="inlineStr">
        <is>
          <t>00:00:44</t>
        </is>
      </c>
      <c r="L23" s="4" t="n">
        <v>28</v>
      </c>
      <c r="M23" s="3" t="inlineStr">
        <is>
          <t>segmented</t>
        </is>
      </c>
      <c r="N23" s="3" t="inlineStr"/>
      <c r="O23" s="3" t="inlineStr">
        <is>
          <t>C:\Users\tillp\Documents\Masters_Project\data\A___preprocessing\00___data_collections\Wolnelektury\training\Poetyka, Arystoteles</t>
        </is>
      </c>
    </row>
    <row r="24">
      <c r="A24" s="3" t="inlineStr">
        <is>
          <t>Rękopis znaleziony w Saragossie, Jan Potocki</t>
        </is>
      </c>
      <c r="B24" s="3" t="inlineStr">
        <is>
          <t>Rękopis znaleziony w Saragossie</t>
        </is>
      </c>
      <c r="C24" s="3" t="inlineStr">
        <is>
          <t>Jan Potocki</t>
        </is>
      </c>
      <c r="D24" s="4" t="n">
        <v>19</v>
      </c>
      <c r="E24" s="3" t="inlineStr">
        <is>
          <t>MP3</t>
        </is>
      </c>
      <c r="F24" s="3" t="inlineStr">
        <is>
          <t>08:28:53</t>
        </is>
      </c>
      <c r="G24" s="5" t="n">
        <v>30533.293</v>
      </c>
      <c r="H24" s="3" t="inlineStr">
        <is>
          <t>00:26:47</t>
        </is>
      </c>
      <c r="I24" s="4" t="n">
        <v>660</v>
      </c>
      <c r="J24" s="6" t="n">
        <v>34.74</v>
      </c>
      <c r="K24" s="3" t="inlineStr">
        <is>
          <t>00:00:46</t>
        </is>
      </c>
      <c r="L24" s="4" t="n">
        <v>19</v>
      </c>
      <c r="M24" s="3" t="inlineStr">
        <is>
          <t>segmented</t>
        </is>
      </c>
      <c r="N24" s="3" t="inlineStr"/>
      <c r="O24" s="3" t="inlineStr">
        <is>
          <t>C:\Users\tillp\Documents\Masters_Project\data\A___preprocessing\00___data_collections\Wolnelektury\training\Rękopis znaleziony w Saragossie, Jan Potocki</t>
        </is>
      </c>
    </row>
    <row r="25">
      <c r="A25" s="3" t="inlineStr">
        <is>
          <t>Studium w szkarłacie, Arthur Conan Doyle</t>
        </is>
      </c>
      <c r="B25" s="3" t="inlineStr">
        <is>
          <t>Studium w szkarłacie</t>
        </is>
      </c>
      <c r="C25" s="3" t="inlineStr">
        <is>
          <t>Arthur Conan Doyle</t>
        </is>
      </c>
      <c r="D25" s="4" t="n">
        <v>14</v>
      </c>
      <c r="E25" s="3" t="inlineStr">
        <is>
          <t>MP3</t>
        </is>
      </c>
      <c r="F25" s="3" t="inlineStr">
        <is>
          <t>05:21:23</t>
        </is>
      </c>
      <c r="G25" s="5" t="n">
        <v>19283.401</v>
      </c>
      <c r="H25" s="3" t="inlineStr">
        <is>
          <t>00:22:57</t>
        </is>
      </c>
      <c r="I25" s="4" t="n">
        <v>426</v>
      </c>
      <c r="J25" s="6" t="n">
        <v>30.43</v>
      </c>
      <c r="K25" s="3" t="inlineStr">
        <is>
          <t>00:00:45</t>
        </is>
      </c>
      <c r="L25" s="4" t="n">
        <v>14</v>
      </c>
      <c r="M25" s="3" t="inlineStr">
        <is>
          <t>segmented</t>
        </is>
      </c>
      <c r="N25" s="3" t="inlineStr"/>
      <c r="O25" s="3" t="inlineStr">
        <is>
          <t>C:\Users\tillp\Documents\Masters_Project\data\A___preprocessing\00___data_collections\Wolnelektury\training\Studium w szkarłacie, Arthur Conan Doyle</t>
        </is>
      </c>
    </row>
    <row r="26">
      <c r="A26" s="3" t="inlineStr">
        <is>
          <t>Słówka (zbiór), Tadeusz Boy-Żeleński</t>
        </is>
      </c>
      <c r="B26" s="3" t="inlineStr">
        <is>
          <t>Słówka (zbiór)</t>
        </is>
      </c>
      <c r="C26" s="3" t="inlineStr">
        <is>
          <t>Tadeusz Boy-Żeleński</t>
        </is>
      </c>
      <c r="D26" s="4" t="n">
        <v>59</v>
      </c>
      <c r="E26" s="3" t="inlineStr">
        <is>
          <t>MP3</t>
        </is>
      </c>
      <c r="F26" s="3" t="inlineStr">
        <is>
          <t>03:12:41</t>
        </is>
      </c>
      <c r="G26" s="5" t="n">
        <v>11561.04</v>
      </c>
      <c r="H26" s="3" t="inlineStr">
        <is>
          <t>00:03:16</t>
        </is>
      </c>
      <c r="I26" s="4" t="n">
        <v>264</v>
      </c>
      <c r="J26" s="6" t="n">
        <v>4.47</v>
      </c>
      <c r="K26" s="3" t="inlineStr">
        <is>
          <t>00:00:44</t>
        </is>
      </c>
      <c r="L26" s="4" t="n">
        <v>59</v>
      </c>
      <c r="M26" s="3" t="inlineStr">
        <is>
          <t>segmented</t>
        </is>
      </c>
      <c r="N26" s="3" t="inlineStr"/>
      <c r="O26" s="3" t="inlineStr">
        <is>
          <t>C:\Users\tillp\Documents\Masters_Project\data\A___preprocessing\00___data_collections\Wolnelektury\training\Słówka (zbiór), Tadeusz Boy-Żeleński</t>
        </is>
      </c>
    </row>
    <row r="27">
      <c r="A27" s="3" t="inlineStr">
        <is>
          <t>Tajemniczy ogród, Frances Hodgson Burnett</t>
        </is>
      </c>
      <c r="B27" s="3" t="inlineStr">
        <is>
          <t>Tajemniczy ogród</t>
        </is>
      </c>
      <c r="C27" s="3" t="inlineStr">
        <is>
          <t>Frances Hodgson Burnett</t>
        </is>
      </c>
      <c r="D27" s="4" t="n">
        <v>27</v>
      </c>
      <c r="E27" s="3" t="inlineStr">
        <is>
          <t>MP3</t>
        </is>
      </c>
      <c r="F27" s="3" t="inlineStr">
        <is>
          <t>08:09:22</t>
        </is>
      </c>
      <c r="G27" s="5" t="n">
        <v>29361.75</v>
      </c>
      <c r="H27" s="3" t="inlineStr">
        <is>
          <t>00:18:07</t>
        </is>
      </c>
      <c r="I27" s="4" t="n">
        <v>657</v>
      </c>
      <c r="J27" s="6" t="n">
        <v>24.33</v>
      </c>
      <c r="K27" s="3" t="inlineStr">
        <is>
          <t>00:00:45</t>
        </is>
      </c>
      <c r="L27" s="4" t="n">
        <v>27</v>
      </c>
      <c r="M27" s="3" t="inlineStr">
        <is>
          <t>segmented</t>
        </is>
      </c>
      <c r="N27" s="3" t="inlineStr"/>
      <c r="O27" s="3" t="inlineStr">
        <is>
          <t>C:\Users\tillp\Documents\Masters_Project\data\A___preprocessing\00___data_collections\Wolnelektury\training\Tajemniczy ogród, Frances Hodgson Burnett</t>
        </is>
      </c>
    </row>
    <row r="28">
      <c r="A28" s="3" t="inlineStr">
        <is>
          <t>Tajny agent, Joseph Conrad</t>
        </is>
      </c>
      <c r="B28" s="3" t="inlineStr">
        <is>
          <t>Tajny agent</t>
        </is>
      </c>
      <c r="C28" s="3" t="inlineStr">
        <is>
          <t>Joseph Conrad</t>
        </is>
      </c>
      <c r="D28" s="4" t="n">
        <v>14</v>
      </c>
      <c r="E28" s="3" t="inlineStr">
        <is>
          <t>MP3</t>
        </is>
      </c>
      <c r="F28" s="3" t="inlineStr">
        <is>
          <t>09:47:50</t>
        </is>
      </c>
      <c r="G28" s="5" t="n">
        <v>35270.426</v>
      </c>
      <c r="H28" s="3" t="inlineStr">
        <is>
          <t>00:41:59</t>
        </is>
      </c>
      <c r="I28" s="4" t="n">
        <v>784</v>
      </c>
      <c r="J28" s="6" t="n">
        <v>56</v>
      </c>
      <c r="K28" s="3" t="inlineStr">
        <is>
          <t>00:00:45</t>
        </is>
      </c>
      <c r="L28" s="4" t="n">
        <v>14</v>
      </c>
      <c r="M28" s="3" t="inlineStr">
        <is>
          <t>segmented</t>
        </is>
      </c>
      <c r="N28" s="3" t="inlineStr"/>
      <c r="O28" s="3" t="inlineStr">
        <is>
          <t>C:\Users\tillp\Documents\Masters_Project\data\A___preprocessing\00___data_collections\Wolnelektury\training\Tajny agent, Joseph Conrad</t>
        </is>
      </c>
    </row>
    <row r="29">
      <c r="A29" s="3" t="inlineStr">
        <is>
          <t>Zdarzyło się po drodze, Agnes von Krusenstjerna</t>
        </is>
      </c>
      <c r="B29" s="3" t="inlineStr">
        <is>
          <t>Zdarzyło się po drodze</t>
        </is>
      </c>
      <c r="C29" s="3" t="inlineStr">
        <is>
          <t>Agnes von Krusenstjerna</t>
        </is>
      </c>
      <c r="D29" s="4" t="n">
        <v>12</v>
      </c>
      <c r="E29" s="3" t="inlineStr">
        <is>
          <t>MP3</t>
        </is>
      </c>
      <c r="F29" s="3" t="inlineStr">
        <is>
          <t>04:17:13</t>
        </is>
      </c>
      <c r="G29" s="5" t="n">
        <v>15433.418</v>
      </c>
      <c r="H29" s="3" t="inlineStr">
        <is>
          <t>00:21:26</t>
        </is>
      </c>
      <c r="I29" s="4" t="n">
        <v>342</v>
      </c>
      <c r="J29" s="6" t="n">
        <v>28.5</v>
      </c>
      <c r="K29" s="3" t="inlineStr">
        <is>
          <t>00:00:45</t>
        </is>
      </c>
      <c r="L29" s="4" t="n">
        <v>12</v>
      </c>
      <c r="M29" s="3" t="inlineStr">
        <is>
          <t>segmented</t>
        </is>
      </c>
      <c r="N29" s="3" t="inlineStr"/>
      <c r="O29" s="3" t="inlineStr">
        <is>
          <t>C:\Users\tillp\Documents\Masters_Project\data\A___preprocessing\00___data_collections\Wolnelektury\training\Zdarzyło się po drodze, Agnes von Krusenstjerna</t>
        </is>
      </c>
    </row>
    <row r="30">
      <c r="A30" s="3" t="inlineStr">
        <is>
          <t>Znachor, Tadeusz Dołęga-Mostowicz</t>
        </is>
      </c>
      <c r="B30" s="3" t="inlineStr">
        <is>
          <t>Znachor</t>
        </is>
      </c>
      <c r="C30" s="3" t="inlineStr">
        <is>
          <t>Tadeusz Dołęga-Mostowicz</t>
        </is>
      </c>
      <c r="D30" s="4" t="n">
        <v>20</v>
      </c>
      <c r="E30" s="3" t="inlineStr">
        <is>
          <t>MP3</t>
        </is>
      </c>
      <c r="F30" s="3" t="inlineStr">
        <is>
          <t>11:36:12</t>
        </is>
      </c>
      <c r="G30" s="5" t="n">
        <v>41771.747</v>
      </c>
      <c r="H30" s="3" t="inlineStr">
        <is>
          <t>00:34:49</t>
        </is>
      </c>
      <c r="I30" s="4" t="n">
        <v>927</v>
      </c>
      <c r="J30" s="6" t="n">
        <v>46.35</v>
      </c>
      <c r="K30" s="3" t="inlineStr">
        <is>
          <t>00:00:45</t>
        </is>
      </c>
      <c r="L30" s="4" t="n">
        <v>20</v>
      </c>
      <c r="M30" s="3" t="inlineStr">
        <is>
          <t>segmented</t>
        </is>
      </c>
      <c r="N30" s="3" t="inlineStr"/>
      <c r="O30" s="3" t="inlineStr">
        <is>
          <t>C:\Users\tillp\Documents\Masters_Project\data\A___preprocessing\00___data_collections\Wolnelektury\training\Znachor, Tadeusz Dołęga-Mostowicz</t>
        </is>
      </c>
    </row>
    <row r="31">
      <c r="A31" s="3" t="inlineStr">
        <is>
          <t>Śpiewak spod strzechy, Hans Christian Andersen</t>
        </is>
      </c>
      <c r="B31" s="3" t="inlineStr">
        <is>
          <t>Śpiewak spod strzechy</t>
        </is>
      </c>
      <c r="C31" s="3" t="inlineStr">
        <is>
          <t>Hans Christian Andersen</t>
        </is>
      </c>
      <c r="D31" s="4" t="n">
        <v>1</v>
      </c>
      <c r="E31" s="3" t="inlineStr">
        <is>
          <t>MP3</t>
        </is>
      </c>
      <c r="F31" s="3" t="inlineStr">
        <is>
          <t>00:07:33</t>
        </is>
      </c>
      <c r="G31" s="5" t="n">
        <v>452.754</v>
      </c>
      <c r="H31" s="3" t="inlineStr">
        <is>
          <t>00:07:33</t>
        </is>
      </c>
      <c r="I31" s="4" t="n">
        <v>10</v>
      </c>
      <c r="J31" s="6" t="n">
        <v>10</v>
      </c>
      <c r="K31" s="3" t="inlineStr">
        <is>
          <t>00:00:45</t>
        </is>
      </c>
      <c r="L31" s="4" t="n">
        <v>1</v>
      </c>
      <c r="M31" s="3" t="inlineStr">
        <is>
          <t>segmented</t>
        </is>
      </c>
      <c r="N31" s="3" t="inlineStr"/>
      <c r="O31" s="3" t="inlineStr">
        <is>
          <t>C:\Users\tillp\Documents\Masters_Project\data\A___preprocessing\00___data_collections\Wolnelektury\training\Śpiewak spod strzechy, Hans Christian Andersen</t>
        </is>
      </c>
    </row>
    <row r="32">
      <c r="A32" s="7" t="inlineStr">
        <is>
          <t>TOTAL</t>
        </is>
      </c>
      <c r="B32" s="7" t="n"/>
      <c r="C32" s="7" t="n"/>
      <c r="D32" s="8">
        <f>SUM(D8:D31)</f>
        <v/>
      </c>
      <c r="E32" s="7" t="inlineStr"/>
      <c r="F32" s="7">
        <f>TEXT(SUM(G8:G31)/86400,"[h]:mm:ss")</f>
        <v/>
      </c>
      <c r="G32" s="9">
        <f>SUM(G8:G31)</f>
        <v/>
      </c>
      <c r="H32" s="7">
        <f>IF(D32&gt;0,TEXT(G32/D32/86400,"[h]:mm:ss"),"N/V")</f>
        <v/>
      </c>
      <c r="I32" s="8">
        <f>SUM(I8:I31)</f>
        <v/>
      </c>
      <c r="J32" s="10">
        <f>IF(D32&gt;0,I32/D32,"N/V")</f>
        <v/>
      </c>
      <c r="K32" s="7">
        <f>IF(I32&gt;0,TEXT(G32/I32/86400,"[h]:mm:ss"),"N/V")</f>
        <v/>
      </c>
      <c r="L32" s="8">
        <f>SUM(L8:L31)</f>
        <v/>
      </c>
      <c r="M32" s="7" t="n"/>
      <c r="N32" s="7" t="n"/>
      <c r="O32" s="7" t="n"/>
    </row>
  </sheetData>
  <autoFilter ref="A7:O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2026-07-27T08:48:08Z</dcterms:created>
  <dcterms:modified xsi:type="dcterms:W3CDTF">2026-07-27T08:48:08Z</dcterms:modified>
</cp:coreProperties>
</file>